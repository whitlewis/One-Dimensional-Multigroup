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it Lewis\Desktop\Research\SpatialSolve\Spatial_V3\"/>
    </mc:Choice>
  </mc:AlternateContent>
  <xr:revisionPtr revIDLastSave="0" documentId="13_ncr:1_{E70413E6-2B81-4C53-B96C-D68D6DFEB6B1}" xr6:coauthVersionLast="47" xr6:coauthVersionMax="47" xr10:uidLastSave="{00000000-0000-0000-0000-000000000000}"/>
  <bookViews>
    <workbookView xWindow="-21720" yWindow="-7770" windowWidth="21840" windowHeight="37920" xr2:uid="{4E90858F-6D5B-48AE-9463-B6DE055BBD83}"/>
  </bookViews>
  <sheets>
    <sheet name="Moving Mesh" sheetId="1" r:id="rId1"/>
    <sheet name="B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6" i="1" l="1"/>
  <c r="M4" i="1"/>
  <c r="M5" i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M2" i="2"/>
  <c r="M3" i="1"/>
  <c r="M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<sst xmlns="http://schemas.openxmlformats.org/spreadsheetml/2006/main" count="64" uniqueCount="28">
  <si>
    <t>Test Log</t>
  </si>
  <si>
    <t>Time steps</t>
  </si>
  <si>
    <t>Max Time</t>
  </si>
  <si>
    <t>R-Bound</t>
  </si>
  <si>
    <t>L-Bound</t>
  </si>
  <si>
    <t>Time Scale</t>
  </si>
  <si>
    <t>log</t>
  </si>
  <si>
    <t>Reflective</t>
  </si>
  <si>
    <t>Groups</t>
  </si>
  <si>
    <t>Angles</t>
  </si>
  <si>
    <t>Delta-x</t>
  </si>
  <si>
    <t>Learning Rate</t>
  </si>
  <si>
    <t>Max Iterative Change</t>
  </si>
  <si>
    <t>Max dt</t>
  </si>
  <si>
    <t>Run Time (sec)</t>
  </si>
  <si>
    <t>Run Time (min)</t>
  </si>
  <si>
    <t>Notes</t>
  </si>
  <si>
    <t>Runs fine, does not show initial temp bump, short time</t>
  </si>
  <si>
    <t>Changes to implement</t>
  </si>
  <si>
    <t>Try longer time, max dt seems most important for convergence</t>
  </si>
  <si>
    <t>Runs fine, does not show initial temp bump, but good detail</t>
  </si>
  <si>
    <t>Try Vacuum</t>
  </si>
  <si>
    <t>Vacuum</t>
  </si>
  <si>
    <t>Failed with increasing error</t>
  </si>
  <si>
    <t>Runs fine, does not show initial temp bump, iterative change grows then decreases again</t>
  </si>
  <si>
    <t>Try lower dt, smaller width</t>
  </si>
  <si>
    <t>Finished, but was increasing rapidly</t>
  </si>
  <si>
    <t>Runs fine, need plots of phi in time, using 10th of old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</si>
</sst>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E+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0" xfId="0" applyFill="1"/>
    <xf numFmtId="11" fontId="0" fillId="0" borderId="0" xfId="0" applyNumberFormat="1"/>
    <xf numFmtId="2" fontId="0" fillId="0" borderId="0" xfId="0" applyNumberFormat="1"/>
    <xf numFmtId="168" fontId="0" fillId="0" borderId="0" xfId="0" applyNumberFormat="1"/>
    <xf numFmtId="0" fontId="0" fillId="0" borderId="0" xfId="0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820B4-52C8-44C8-97F1-751D838A19B5}">
  <dimension ref="A1:S94"/>
  <sheetViews>
    <sheetView tabSelected="1" workbookViewId="0">
      <selection activeCell="B7" sqref="B7"/>
    </sheetView>
  </sheetViews>
  <sheetFormatPr defaultRowHeight="15" x14ac:dyDescent="0.25"/>
  <cols>
    <col min="1" max="1" width="19.7109375" customWidth="1"/>
    <col min="2" max="3" width="14.85546875" customWidth="1"/>
    <col min="4" max="4" width="16" customWidth="1"/>
    <col min="5" max="6" width="14" customWidth="1"/>
    <col min="7" max="7" width="9.28515625" customWidth="1"/>
    <col min="8" max="8" width="9.140625" customWidth="1"/>
    <col min="10" max="10" width="13.5703125" customWidth="1"/>
    <col min="11" max="11" width="18.85546875" customWidth="1"/>
    <col min="12" max="13" width="10.42578125" customWidth="1"/>
    <col min="14" max="14" width="12.140625" customWidth="1"/>
    <col min="15" max="15" width="44.85546875" customWidth="1"/>
    <col min="16" max="16" width="42.5703125" customWidth="1"/>
  </cols>
  <sheetData>
    <row r="1" spans="1:19" ht="30.75" customHeight="1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10</v>
      </c>
      <c r="H1" s="1" t="s">
        <v>8</v>
      </c>
      <c r="I1" s="1" t="s">
        <v>9</v>
      </c>
      <c r="J1" s="2" t="s">
        <v>11</v>
      </c>
      <c r="K1" s="1" t="s">
        <v>12</v>
      </c>
      <c r="L1" s="2" t="s">
        <v>14</v>
      </c>
      <c r="M1" s="2" t="s">
        <v>15</v>
      </c>
      <c r="N1" s="1" t="s">
        <v>13</v>
      </c>
      <c r="O1" s="1" t="s">
        <v>16</v>
      </c>
      <c r="P1" s="1" t="s">
        <v>18</v>
      </c>
      <c r="Q1" s="1"/>
      <c r="R1" s="1"/>
      <c r="S1" s="1"/>
    </row>
    <row r="2" spans="1:19" ht="33.75" customHeight="1" x14ac:dyDescent="0.25">
      <c r="A2" s="3">
        <v>1</v>
      </c>
      <c r="B2">
        <v>200</v>
      </c>
      <c r="C2" t="s">
        <v>6</v>
      </c>
      <c r="D2">
        <v>0.1</v>
      </c>
      <c r="E2" t="s">
        <v>7</v>
      </c>
      <c r="F2" t="s">
        <v>7</v>
      </c>
      <c r="G2">
        <v>0.02</v>
      </c>
      <c r="H2">
        <v>40</v>
      </c>
      <c r="I2">
        <v>8</v>
      </c>
      <c r="J2">
        <v>1</v>
      </c>
      <c r="K2" s="6">
        <v>6.90615998097492E-5</v>
      </c>
      <c r="L2">
        <v>574.86</v>
      </c>
      <c r="M2" s="5">
        <f>L2/60</f>
        <v>9.5809999999999995</v>
      </c>
      <c r="N2" s="4">
        <v>1.1900000000000001E-2</v>
      </c>
      <c r="O2" s="7" t="s">
        <v>17</v>
      </c>
      <c r="P2" s="7" t="s">
        <v>19</v>
      </c>
    </row>
    <row r="3" spans="1:19" ht="30" x14ac:dyDescent="0.25">
      <c r="A3" s="3">
        <f>A2+1</f>
        <v>2</v>
      </c>
      <c r="B3">
        <v>400</v>
      </c>
      <c r="C3" t="s">
        <v>6</v>
      </c>
      <c r="D3">
        <v>0.5</v>
      </c>
      <c r="E3" t="s">
        <v>7</v>
      </c>
      <c r="F3" t="s">
        <v>7</v>
      </c>
      <c r="G3">
        <v>0.02</v>
      </c>
      <c r="H3">
        <v>40</v>
      </c>
      <c r="I3">
        <v>8</v>
      </c>
      <c r="J3">
        <v>1</v>
      </c>
      <c r="K3" s="6">
        <v>3.3897645695377898</v>
      </c>
      <c r="L3">
        <v>1391.07</v>
      </c>
      <c r="M3" s="5">
        <f>L3/60</f>
        <v>23.1845</v>
      </c>
      <c r="N3" s="4">
        <v>3.2599999999999997E-2</v>
      </c>
      <c r="O3" s="7" t="s">
        <v>20</v>
      </c>
      <c r="P3" s="7" t="s">
        <v>21</v>
      </c>
    </row>
    <row r="4" spans="1:19" x14ac:dyDescent="0.25">
      <c r="A4" s="8">
        <f t="shared" ref="A4:A40" si="0">A3+1</f>
        <v>3</v>
      </c>
      <c r="B4">
        <v>400</v>
      </c>
      <c r="C4" t="s">
        <v>6</v>
      </c>
      <c r="D4">
        <v>0.5</v>
      </c>
      <c r="E4" t="s">
        <v>22</v>
      </c>
      <c r="F4" t="s">
        <v>7</v>
      </c>
      <c r="G4">
        <v>0.02</v>
      </c>
      <c r="H4">
        <v>40</v>
      </c>
      <c r="I4">
        <v>8</v>
      </c>
      <c r="J4">
        <v>1</v>
      </c>
      <c r="K4" s="6"/>
      <c r="M4" s="5">
        <f t="shared" ref="M4:M6" si="1">L4/60</f>
        <v>0</v>
      </c>
      <c r="O4" s="7" t="s">
        <v>23</v>
      </c>
      <c r="P4" s="7" t="s">
        <v>25</v>
      </c>
    </row>
    <row r="5" spans="1:19" x14ac:dyDescent="0.25">
      <c r="A5" s="8">
        <f t="shared" si="0"/>
        <v>4</v>
      </c>
      <c r="B5">
        <v>400</v>
      </c>
      <c r="C5" t="s">
        <v>6</v>
      </c>
      <c r="D5">
        <v>0.1</v>
      </c>
      <c r="E5" t="s">
        <v>22</v>
      </c>
      <c r="F5" t="s">
        <v>7</v>
      </c>
      <c r="G5">
        <v>0.02</v>
      </c>
      <c r="H5">
        <v>40</v>
      </c>
      <c r="I5">
        <v>8</v>
      </c>
      <c r="J5">
        <v>1</v>
      </c>
      <c r="K5" s="6">
        <v>6.9689051000018404E-4</v>
      </c>
      <c r="L5">
        <v>1666.48</v>
      </c>
      <c r="M5" s="5">
        <f t="shared" si="1"/>
        <v>27.774666666666668</v>
      </c>
      <c r="N5" s="4">
        <v>6.1399999999999996E-3</v>
      </c>
      <c r="O5" s="7" t="s">
        <v>26</v>
      </c>
      <c r="P5" s="7" t="s">
        <v>25</v>
      </c>
    </row>
    <row r="6" spans="1:19" ht="30" x14ac:dyDescent="0.25">
      <c r="A6" s="3">
        <f t="shared" si="0"/>
        <v>5</v>
      </c>
      <c r="B6">
        <v>400</v>
      </c>
      <c r="C6" t="s">
        <v>6</v>
      </c>
      <c r="D6">
        <v>0.1</v>
      </c>
      <c r="E6" t="s">
        <v>22</v>
      </c>
      <c r="F6" t="s">
        <v>7</v>
      </c>
      <c r="G6">
        <v>0.02</v>
      </c>
      <c r="H6">
        <v>40</v>
      </c>
      <c r="I6">
        <v>8</v>
      </c>
      <c r="J6">
        <v>1</v>
      </c>
      <c r="K6" s="6">
        <v>4.1236281197736002E-4</v>
      </c>
      <c r="L6">
        <v>222.15</v>
      </c>
      <c r="M6" s="5">
        <f t="shared" si="1"/>
        <v>3.7025000000000001</v>
      </c>
      <c r="N6" s="4">
        <v>4.13E-3</v>
      </c>
      <c r="O6" s="7" t="s">
        <v>27</v>
      </c>
      <c r="P6" s="7"/>
    </row>
    <row r="7" spans="1:19" x14ac:dyDescent="0.25">
      <c r="A7">
        <f t="shared" si="0"/>
        <v>6</v>
      </c>
      <c r="B7">
        <v>4000</v>
      </c>
      <c r="C7" t="s">
        <v>6</v>
      </c>
      <c r="D7">
        <v>0.1</v>
      </c>
      <c r="E7" t="s">
        <v>7</v>
      </c>
      <c r="F7" t="s">
        <v>7</v>
      </c>
      <c r="G7">
        <v>0.02</v>
      </c>
      <c r="H7">
        <v>40</v>
      </c>
      <c r="I7">
        <v>8</v>
      </c>
      <c r="J7">
        <v>1</v>
      </c>
      <c r="K7" s="6"/>
      <c r="M7" s="5"/>
      <c r="O7" s="7"/>
      <c r="P7" s="7"/>
    </row>
    <row r="8" spans="1:19" x14ac:dyDescent="0.25">
      <c r="A8">
        <f t="shared" si="0"/>
        <v>7</v>
      </c>
      <c r="K8" s="6"/>
      <c r="M8" s="5"/>
      <c r="O8" s="7"/>
      <c r="P8" s="7"/>
    </row>
    <row r="9" spans="1:19" x14ac:dyDescent="0.25">
      <c r="A9">
        <f t="shared" si="0"/>
        <v>8</v>
      </c>
      <c r="K9" s="6"/>
      <c r="M9" s="5"/>
      <c r="O9" s="7"/>
      <c r="P9" s="7"/>
    </row>
    <row r="10" spans="1:19" x14ac:dyDescent="0.25">
      <c r="A10">
        <f t="shared" si="0"/>
        <v>9</v>
      </c>
      <c r="K10" s="6"/>
      <c r="M10" s="5"/>
      <c r="O10" s="7"/>
      <c r="P10" s="7"/>
    </row>
    <row r="11" spans="1:19" x14ac:dyDescent="0.25">
      <c r="A11">
        <f t="shared" si="0"/>
        <v>10</v>
      </c>
      <c r="K11" s="6"/>
      <c r="M11" s="5"/>
      <c r="O11" s="7"/>
      <c r="P11" s="7"/>
    </row>
    <row r="12" spans="1:19" x14ac:dyDescent="0.25">
      <c r="A12">
        <f t="shared" si="0"/>
        <v>11</v>
      </c>
      <c r="K12" s="6"/>
      <c r="M12" s="5"/>
      <c r="O12" s="7"/>
      <c r="P12" s="7"/>
    </row>
    <row r="13" spans="1:19" x14ac:dyDescent="0.25">
      <c r="A13">
        <f t="shared" si="0"/>
        <v>12</v>
      </c>
      <c r="K13" s="6"/>
      <c r="M13" s="5"/>
      <c r="O13" s="7"/>
      <c r="P13" s="7"/>
    </row>
    <row r="14" spans="1:19" x14ac:dyDescent="0.25">
      <c r="A14">
        <f t="shared" si="0"/>
        <v>13</v>
      </c>
      <c r="K14" s="6"/>
      <c r="M14" s="5"/>
      <c r="O14" s="7"/>
      <c r="P14" s="7"/>
    </row>
    <row r="15" spans="1:19" x14ac:dyDescent="0.25">
      <c r="A15">
        <f t="shared" si="0"/>
        <v>14</v>
      </c>
      <c r="K15" s="6"/>
      <c r="M15" s="5"/>
      <c r="O15" s="7"/>
      <c r="P15" s="7"/>
    </row>
    <row r="16" spans="1:19" x14ac:dyDescent="0.25">
      <c r="A16">
        <f t="shared" si="0"/>
        <v>15</v>
      </c>
      <c r="K16" s="6"/>
      <c r="M16" s="5"/>
      <c r="O16" s="7"/>
      <c r="P16" s="7"/>
    </row>
    <row r="17" spans="1:16" x14ac:dyDescent="0.25">
      <c r="A17">
        <f t="shared" si="0"/>
        <v>16</v>
      </c>
      <c r="K17" s="6"/>
      <c r="M17" s="5"/>
      <c r="O17" s="7"/>
      <c r="P17" s="7"/>
    </row>
    <row r="18" spans="1:16" x14ac:dyDescent="0.25">
      <c r="A18">
        <f t="shared" si="0"/>
        <v>17</v>
      </c>
      <c r="K18" s="6"/>
      <c r="M18" s="5"/>
      <c r="O18" s="7"/>
      <c r="P18" s="7"/>
    </row>
    <row r="19" spans="1:16" x14ac:dyDescent="0.25">
      <c r="A19">
        <f t="shared" si="0"/>
        <v>18</v>
      </c>
      <c r="K19" s="6"/>
      <c r="M19" s="5"/>
      <c r="O19" s="7"/>
      <c r="P19" s="7"/>
    </row>
    <row r="20" spans="1:16" x14ac:dyDescent="0.25">
      <c r="A20">
        <f t="shared" si="0"/>
        <v>19</v>
      </c>
      <c r="K20" s="6"/>
      <c r="M20" s="5"/>
      <c r="O20" s="7"/>
      <c r="P20" s="7"/>
    </row>
    <row r="21" spans="1:16" x14ac:dyDescent="0.25">
      <c r="A21">
        <f t="shared" si="0"/>
        <v>20</v>
      </c>
      <c r="K21" s="6"/>
      <c r="M21" s="5"/>
      <c r="O21" s="7"/>
      <c r="P21" s="7"/>
    </row>
    <row r="22" spans="1:16" x14ac:dyDescent="0.25">
      <c r="A22">
        <f t="shared" si="0"/>
        <v>21</v>
      </c>
      <c r="K22" s="6"/>
      <c r="M22" s="5"/>
      <c r="O22" s="7"/>
      <c r="P22" s="7"/>
    </row>
    <row r="23" spans="1:16" x14ac:dyDescent="0.25">
      <c r="A23">
        <f t="shared" si="0"/>
        <v>22</v>
      </c>
      <c r="K23" s="6"/>
      <c r="O23" s="7"/>
      <c r="P23" s="7"/>
    </row>
    <row r="24" spans="1:16" x14ac:dyDescent="0.25">
      <c r="A24">
        <f t="shared" si="0"/>
        <v>23</v>
      </c>
      <c r="K24" s="6"/>
      <c r="O24" s="7"/>
      <c r="P24" s="7"/>
    </row>
    <row r="25" spans="1:16" x14ac:dyDescent="0.25">
      <c r="A25">
        <f t="shared" si="0"/>
        <v>24</v>
      </c>
      <c r="K25" s="6"/>
      <c r="O25" s="7"/>
      <c r="P25" s="7"/>
    </row>
    <row r="26" spans="1:16" x14ac:dyDescent="0.25">
      <c r="A26">
        <f t="shared" si="0"/>
        <v>25</v>
      </c>
      <c r="K26" s="6"/>
      <c r="O26" s="7"/>
      <c r="P26" s="7"/>
    </row>
    <row r="27" spans="1:16" x14ac:dyDescent="0.25">
      <c r="A27">
        <f t="shared" si="0"/>
        <v>26</v>
      </c>
      <c r="O27" s="7"/>
      <c r="P27" s="7"/>
    </row>
    <row r="28" spans="1:16" x14ac:dyDescent="0.25">
      <c r="A28">
        <f t="shared" si="0"/>
        <v>27</v>
      </c>
      <c r="O28" s="7"/>
      <c r="P28" s="7"/>
    </row>
    <row r="29" spans="1:16" x14ac:dyDescent="0.25">
      <c r="A29">
        <f t="shared" si="0"/>
        <v>28</v>
      </c>
      <c r="O29" s="7"/>
      <c r="P29" s="7"/>
    </row>
    <row r="30" spans="1:16" x14ac:dyDescent="0.25">
      <c r="A30">
        <f t="shared" si="0"/>
        <v>29</v>
      </c>
      <c r="O30" s="7"/>
      <c r="P30" s="7"/>
    </row>
    <row r="31" spans="1:16" x14ac:dyDescent="0.25">
      <c r="A31">
        <f t="shared" si="0"/>
        <v>30</v>
      </c>
      <c r="O31" s="7"/>
      <c r="P31" s="7"/>
    </row>
    <row r="32" spans="1:16" x14ac:dyDescent="0.25">
      <c r="A32">
        <f t="shared" si="0"/>
        <v>31</v>
      </c>
      <c r="O32" s="7"/>
      <c r="P32" s="7"/>
    </row>
    <row r="33" spans="1:16" x14ac:dyDescent="0.25">
      <c r="A33">
        <f t="shared" si="0"/>
        <v>32</v>
      </c>
      <c r="O33" s="7"/>
      <c r="P33" s="7"/>
    </row>
    <row r="34" spans="1:16" x14ac:dyDescent="0.25">
      <c r="A34">
        <f t="shared" si="0"/>
        <v>33</v>
      </c>
      <c r="O34" s="7"/>
      <c r="P34" s="7"/>
    </row>
    <row r="35" spans="1:16" x14ac:dyDescent="0.25">
      <c r="A35">
        <f t="shared" si="0"/>
        <v>34</v>
      </c>
      <c r="O35" s="7"/>
      <c r="P35" s="7"/>
    </row>
    <row r="36" spans="1:16" x14ac:dyDescent="0.25">
      <c r="A36">
        <f t="shared" si="0"/>
        <v>35</v>
      </c>
      <c r="O36" s="7"/>
      <c r="P36" s="7"/>
    </row>
    <row r="37" spans="1:16" x14ac:dyDescent="0.25">
      <c r="A37">
        <f t="shared" si="0"/>
        <v>36</v>
      </c>
      <c r="O37" s="7"/>
      <c r="P37" s="7"/>
    </row>
    <row r="38" spans="1:16" x14ac:dyDescent="0.25">
      <c r="A38">
        <f t="shared" si="0"/>
        <v>37</v>
      </c>
      <c r="O38" s="7"/>
      <c r="P38" s="7"/>
    </row>
    <row r="39" spans="1:16" x14ac:dyDescent="0.25">
      <c r="A39">
        <f t="shared" si="0"/>
        <v>38</v>
      </c>
      <c r="O39" s="7"/>
      <c r="P39" s="7"/>
    </row>
    <row r="40" spans="1:16" x14ac:dyDescent="0.25">
      <c r="A40">
        <f t="shared" si="0"/>
        <v>39</v>
      </c>
      <c r="O40" s="7"/>
      <c r="P40" s="7"/>
    </row>
    <row r="41" spans="1:16" x14ac:dyDescent="0.25">
      <c r="O41" s="7"/>
      <c r="P41" s="7"/>
    </row>
    <row r="42" spans="1:16" x14ac:dyDescent="0.25">
      <c r="O42" s="7"/>
      <c r="P42" s="7"/>
    </row>
    <row r="43" spans="1:16" x14ac:dyDescent="0.25">
      <c r="O43" s="7"/>
      <c r="P43" s="7"/>
    </row>
    <row r="44" spans="1:16" x14ac:dyDescent="0.25">
      <c r="O44" s="7"/>
      <c r="P44" s="7"/>
    </row>
    <row r="45" spans="1:16" x14ac:dyDescent="0.25">
      <c r="O45" s="7"/>
      <c r="P45" s="7"/>
    </row>
    <row r="46" spans="1:16" x14ac:dyDescent="0.25">
      <c r="O46" s="7"/>
      <c r="P46" s="7"/>
    </row>
    <row r="47" spans="1:16" x14ac:dyDescent="0.25">
      <c r="O47" s="7"/>
      <c r="P47" s="7"/>
    </row>
    <row r="48" spans="1:16" x14ac:dyDescent="0.25">
      <c r="O48" s="7"/>
      <c r="P48" s="7"/>
    </row>
    <row r="49" spans="15:16" x14ac:dyDescent="0.25">
      <c r="O49" s="7"/>
      <c r="P49" s="7"/>
    </row>
    <row r="50" spans="15:16" x14ac:dyDescent="0.25">
      <c r="O50" s="7"/>
      <c r="P50" s="7"/>
    </row>
    <row r="51" spans="15:16" x14ac:dyDescent="0.25">
      <c r="O51" s="7"/>
      <c r="P51" s="7"/>
    </row>
    <row r="52" spans="15:16" x14ac:dyDescent="0.25">
      <c r="O52" s="7"/>
      <c r="P52" s="7"/>
    </row>
    <row r="53" spans="15:16" x14ac:dyDescent="0.25">
      <c r="O53" s="7"/>
      <c r="P53" s="7"/>
    </row>
    <row r="54" spans="15:16" x14ac:dyDescent="0.25">
      <c r="O54" s="7"/>
      <c r="P54" s="7"/>
    </row>
    <row r="55" spans="15:16" x14ac:dyDescent="0.25">
      <c r="O55" s="7"/>
      <c r="P55" s="7"/>
    </row>
    <row r="56" spans="15:16" x14ac:dyDescent="0.25">
      <c r="O56" s="7"/>
      <c r="P56" s="7"/>
    </row>
    <row r="57" spans="15:16" x14ac:dyDescent="0.25">
      <c r="O57" s="7"/>
      <c r="P57" s="7"/>
    </row>
    <row r="58" spans="15:16" x14ac:dyDescent="0.25">
      <c r="O58" s="7"/>
      <c r="P58" s="7"/>
    </row>
    <row r="59" spans="15:16" x14ac:dyDescent="0.25">
      <c r="O59" s="7"/>
      <c r="P59" s="7"/>
    </row>
    <row r="60" spans="15:16" x14ac:dyDescent="0.25">
      <c r="O60" s="7"/>
      <c r="P60" s="7"/>
    </row>
    <row r="61" spans="15:16" x14ac:dyDescent="0.25">
      <c r="O61" s="7"/>
      <c r="P61" s="7"/>
    </row>
    <row r="62" spans="15:16" x14ac:dyDescent="0.25">
      <c r="O62" s="7"/>
      <c r="P62" s="7"/>
    </row>
    <row r="63" spans="15:16" x14ac:dyDescent="0.25">
      <c r="O63" s="7"/>
      <c r="P63" s="7"/>
    </row>
    <row r="64" spans="15:16" x14ac:dyDescent="0.25">
      <c r="O64" s="7"/>
      <c r="P64" s="7"/>
    </row>
    <row r="65" spans="15:16" x14ac:dyDescent="0.25">
      <c r="O65" s="7"/>
      <c r="P65" s="7"/>
    </row>
    <row r="66" spans="15:16" x14ac:dyDescent="0.25">
      <c r="O66" s="7"/>
      <c r="P66" s="7"/>
    </row>
    <row r="67" spans="15:16" x14ac:dyDescent="0.25">
      <c r="O67" s="7"/>
      <c r="P67" s="7"/>
    </row>
    <row r="68" spans="15:16" x14ac:dyDescent="0.25">
      <c r="O68" s="7"/>
      <c r="P68" s="7"/>
    </row>
    <row r="69" spans="15:16" x14ac:dyDescent="0.25">
      <c r="O69" s="7"/>
      <c r="P69" s="7"/>
    </row>
    <row r="70" spans="15:16" x14ac:dyDescent="0.25">
      <c r="O70" s="7"/>
      <c r="P70" s="7"/>
    </row>
    <row r="71" spans="15:16" x14ac:dyDescent="0.25">
      <c r="O71" s="7"/>
      <c r="P71" s="7"/>
    </row>
    <row r="72" spans="15:16" x14ac:dyDescent="0.25">
      <c r="O72" s="7"/>
      <c r="P72" s="7"/>
    </row>
    <row r="73" spans="15:16" x14ac:dyDescent="0.25">
      <c r="O73" s="7"/>
      <c r="P73" s="7"/>
    </row>
    <row r="74" spans="15:16" x14ac:dyDescent="0.25">
      <c r="O74" s="7"/>
      <c r="P74" s="7"/>
    </row>
    <row r="75" spans="15:16" x14ac:dyDescent="0.25">
      <c r="O75" s="7"/>
      <c r="P75" s="7"/>
    </row>
    <row r="76" spans="15:16" x14ac:dyDescent="0.25">
      <c r="O76" s="7"/>
      <c r="P76" s="7"/>
    </row>
    <row r="77" spans="15:16" x14ac:dyDescent="0.25">
      <c r="O77" s="7"/>
      <c r="P77" s="7"/>
    </row>
    <row r="78" spans="15:16" x14ac:dyDescent="0.25">
      <c r="O78" s="7"/>
      <c r="P78" s="7"/>
    </row>
    <row r="79" spans="15:16" x14ac:dyDescent="0.25">
      <c r="O79" s="7"/>
      <c r="P79" s="7"/>
    </row>
    <row r="80" spans="15:16" x14ac:dyDescent="0.25">
      <c r="O80" s="7"/>
      <c r="P80" s="7"/>
    </row>
    <row r="81" spans="15:16" x14ac:dyDescent="0.25">
      <c r="O81" s="7"/>
      <c r="P81" s="7"/>
    </row>
    <row r="82" spans="15:16" x14ac:dyDescent="0.25">
      <c r="O82" s="7"/>
      <c r="P82" s="7"/>
    </row>
    <row r="83" spans="15:16" x14ac:dyDescent="0.25">
      <c r="O83" s="7"/>
      <c r="P83" s="7"/>
    </row>
    <row r="84" spans="15:16" x14ac:dyDescent="0.25">
      <c r="O84" s="7"/>
      <c r="P84" s="7"/>
    </row>
    <row r="85" spans="15:16" x14ac:dyDescent="0.25">
      <c r="O85" s="7"/>
      <c r="P85" s="7"/>
    </row>
    <row r="86" spans="15:16" x14ac:dyDescent="0.25">
      <c r="O86" s="7"/>
      <c r="P86" s="7"/>
    </row>
    <row r="87" spans="15:16" x14ac:dyDescent="0.25">
      <c r="O87" s="7"/>
      <c r="P87" s="7"/>
    </row>
    <row r="88" spans="15:16" x14ac:dyDescent="0.25">
      <c r="O88" s="7"/>
      <c r="P88" s="7"/>
    </row>
    <row r="89" spans="15:16" x14ac:dyDescent="0.25">
      <c r="O89" s="7"/>
    </row>
    <row r="90" spans="15:16" x14ac:dyDescent="0.25">
      <c r="O90" s="7"/>
    </row>
    <row r="91" spans="15:16" x14ac:dyDescent="0.25">
      <c r="O91" s="7"/>
    </row>
    <row r="92" spans="15:16" x14ac:dyDescent="0.25">
      <c r="O92" s="7"/>
    </row>
    <row r="93" spans="15:16" x14ac:dyDescent="0.25">
      <c r="O93" s="7"/>
    </row>
    <row r="94" spans="15:16" x14ac:dyDescent="0.25">
      <c r="O9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EF988-073A-4151-BBDF-E18D7253EB94}">
  <dimension ref="A1:P40"/>
  <sheetViews>
    <sheetView topLeftCell="B1" workbookViewId="0">
      <selection activeCell="P2" sqref="P2"/>
    </sheetView>
  </sheetViews>
  <sheetFormatPr defaultRowHeight="15" x14ac:dyDescent="0.25"/>
  <cols>
    <col min="11" max="11" width="24.42578125" customWidth="1"/>
    <col min="12" max="12" width="15.85546875" customWidth="1"/>
    <col min="13" max="13" width="20.7109375" customWidth="1"/>
    <col min="14" max="14" width="18.7109375" customWidth="1"/>
    <col min="15" max="15" width="28.42578125" customWidth="1"/>
    <col min="16" max="16" width="22" customWidth="1"/>
  </cols>
  <sheetData>
    <row r="1" spans="1:16" ht="30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10</v>
      </c>
      <c r="H1" s="1" t="s">
        <v>8</v>
      </c>
      <c r="I1" s="1" t="s">
        <v>9</v>
      </c>
      <c r="J1" s="2" t="s">
        <v>11</v>
      </c>
      <c r="K1" s="1" t="s">
        <v>12</v>
      </c>
      <c r="L1" s="2" t="s">
        <v>14</v>
      </c>
      <c r="M1" s="2" t="s">
        <v>15</v>
      </c>
      <c r="N1" s="1" t="s">
        <v>13</v>
      </c>
      <c r="O1" s="1" t="s">
        <v>16</v>
      </c>
      <c r="P1" s="1" t="s">
        <v>18</v>
      </c>
    </row>
    <row r="2" spans="1:16" ht="60" x14ac:dyDescent="0.25">
      <c r="A2" s="3">
        <v>1</v>
      </c>
      <c r="B2">
        <v>400</v>
      </c>
      <c r="C2" t="s">
        <v>6</v>
      </c>
      <c r="D2">
        <v>0.1</v>
      </c>
      <c r="E2" t="s">
        <v>7</v>
      </c>
      <c r="F2" t="s">
        <v>7</v>
      </c>
      <c r="G2">
        <v>0.02</v>
      </c>
      <c r="H2">
        <v>40</v>
      </c>
      <c r="I2">
        <v>8</v>
      </c>
      <c r="J2">
        <v>1</v>
      </c>
      <c r="K2" s="6">
        <v>5.2917711904814499E-5</v>
      </c>
      <c r="L2">
        <v>119.37</v>
      </c>
      <c r="M2" s="5">
        <f>L2/60</f>
        <v>1.9895</v>
      </c>
      <c r="N2" s="4">
        <v>6.1399999999999996E-3</v>
      </c>
      <c r="O2" s="7" t="s">
        <v>24</v>
      </c>
      <c r="P2" s="7" t="s">
        <v>21</v>
      </c>
    </row>
    <row r="3" spans="1:16" x14ac:dyDescent="0.25">
      <c r="A3" s="3">
        <f>A2+1</f>
        <v>2</v>
      </c>
      <c r="K3" s="6"/>
      <c r="M3" s="5"/>
      <c r="N3" s="4"/>
      <c r="O3" s="7"/>
      <c r="P3" s="7"/>
    </row>
    <row r="4" spans="1:16" x14ac:dyDescent="0.25">
      <c r="A4" s="8">
        <f t="shared" ref="A4:A40" si="0">A3+1</f>
        <v>3</v>
      </c>
      <c r="K4" s="6"/>
      <c r="M4" s="5"/>
      <c r="O4" s="7"/>
      <c r="P4" s="7"/>
    </row>
    <row r="5" spans="1:16" x14ac:dyDescent="0.25">
      <c r="A5">
        <f t="shared" si="0"/>
        <v>4</v>
      </c>
      <c r="K5" s="6"/>
      <c r="M5" s="5"/>
      <c r="O5" s="7"/>
      <c r="P5" s="7"/>
    </row>
    <row r="6" spans="1:16" x14ac:dyDescent="0.25">
      <c r="A6">
        <f t="shared" si="0"/>
        <v>5</v>
      </c>
      <c r="K6" s="6"/>
      <c r="M6" s="5"/>
      <c r="O6" s="7"/>
      <c r="P6" s="7"/>
    </row>
    <row r="7" spans="1:16" x14ac:dyDescent="0.25">
      <c r="A7">
        <f t="shared" si="0"/>
        <v>6</v>
      </c>
      <c r="K7" s="6"/>
      <c r="M7" s="5"/>
      <c r="O7" s="7"/>
      <c r="P7" s="7"/>
    </row>
    <row r="8" spans="1:16" x14ac:dyDescent="0.25">
      <c r="A8">
        <f t="shared" si="0"/>
        <v>7</v>
      </c>
      <c r="K8" s="6"/>
      <c r="M8" s="5"/>
      <c r="O8" s="7"/>
      <c r="P8" s="7"/>
    </row>
    <row r="9" spans="1:16" x14ac:dyDescent="0.25">
      <c r="A9">
        <f t="shared" si="0"/>
        <v>8</v>
      </c>
      <c r="K9" s="6"/>
      <c r="M9" s="5"/>
      <c r="O9" s="7"/>
      <c r="P9" s="7"/>
    </row>
    <row r="10" spans="1:16" x14ac:dyDescent="0.25">
      <c r="A10">
        <f t="shared" si="0"/>
        <v>9</v>
      </c>
      <c r="K10" s="6"/>
      <c r="M10" s="5"/>
      <c r="O10" s="7"/>
      <c r="P10" s="7"/>
    </row>
    <row r="11" spans="1:16" x14ac:dyDescent="0.25">
      <c r="A11">
        <f t="shared" si="0"/>
        <v>10</v>
      </c>
      <c r="K11" s="6"/>
      <c r="M11" s="5"/>
      <c r="O11" s="7"/>
      <c r="P11" s="7"/>
    </row>
    <row r="12" spans="1:16" x14ac:dyDescent="0.25">
      <c r="A12">
        <f t="shared" si="0"/>
        <v>11</v>
      </c>
      <c r="K12" s="6"/>
      <c r="M12" s="5"/>
      <c r="O12" s="7"/>
      <c r="P12" s="7"/>
    </row>
    <row r="13" spans="1:16" x14ac:dyDescent="0.25">
      <c r="A13">
        <f t="shared" si="0"/>
        <v>12</v>
      </c>
      <c r="K13" s="6"/>
      <c r="M13" s="5"/>
      <c r="O13" s="7"/>
      <c r="P13" s="7"/>
    </row>
    <row r="14" spans="1:16" x14ac:dyDescent="0.25">
      <c r="A14">
        <f t="shared" si="0"/>
        <v>13</v>
      </c>
      <c r="K14" s="6"/>
      <c r="M14" s="5"/>
      <c r="O14" s="7"/>
      <c r="P14" s="7"/>
    </row>
    <row r="15" spans="1:16" x14ac:dyDescent="0.25">
      <c r="A15">
        <f t="shared" si="0"/>
        <v>14</v>
      </c>
      <c r="K15" s="6"/>
      <c r="M15" s="5"/>
      <c r="O15" s="7"/>
      <c r="P15" s="7"/>
    </row>
    <row r="16" spans="1:16" x14ac:dyDescent="0.25">
      <c r="A16">
        <f t="shared" si="0"/>
        <v>15</v>
      </c>
      <c r="K16" s="6"/>
      <c r="M16" s="5"/>
      <c r="O16" s="7"/>
      <c r="P16" s="7"/>
    </row>
    <row r="17" spans="1:16" x14ac:dyDescent="0.25">
      <c r="A17">
        <f t="shared" si="0"/>
        <v>16</v>
      </c>
      <c r="K17" s="6"/>
      <c r="M17" s="5"/>
      <c r="O17" s="7"/>
      <c r="P17" s="7"/>
    </row>
    <row r="18" spans="1:16" x14ac:dyDescent="0.25">
      <c r="A18">
        <f t="shared" si="0"/>
        <v>17</v>
      </c>
      <c r="K18" s="6"/>
      <c r="M18" s="5"/>
      <c r="O18" s="7"/>
      <c r="P18" s="7"/>
    </row>
    <row r="19" spans="1:16" x14ac:dyDescent="0.25">
      <c r="A19">
        <f t="shared" si="0"/>
        <v>18</v>
      </c>
      <c r="K19" s="6"/>
      <c r="M19" s="5"/>
      <c r="O19" s="7"/>
      <c r="P19" s="7"/>
    </row>
    <row r="20" spans="1:16" x14ac:dyDescent="0.25">
      <c r="A20">
        <f t="shared" si="0"/>
        <v>19</v>
      </c>
      <c r="K20" s="6"/>
      <c r="M20" s="5"/>
      <c r="O20" s="7"/>
      <c r="P20" s="7"/>
    </row>
    <row r="21" spans="1:16" x14ac:dyDescent="0.25">
      <c r="A21">
        <f t="shared" si="0"/>
        <v>20</v>
      </c>
      <c r="K21" s="6"/>
      <c r="M21" s="5"/>
      <c r="O21" s="7"/>
      <c r="P21" s="7"/>
    </row>
    <row r="22" spans="1:16" x14ac:dyDescent="0.25">
      <c r="A22">
        <f t="shared" si="0"/>
        <v>21</v>
      </c>
      <c r="K22" s="6"/>
      <c r="M22" s="5"/>
      <c r="O22" s="7"/>
      <c r="P22" s="7"/>
    </row>
    <row r="23" spans="1:16" x14ac:dyDescent="0.25">
      <c r="A23">
        <f t="shared" si="0"/>
        <v>22</v>
      </c>
      <c r="K23" s="6"/>
      <c r="O23" s="7"/>
      <c r="P23" s="7"/>
    </row>
    <row r="24" spans="1:16" x14ac:dyDescent="0.25">
      <c r="A24">
        <f t="shared" si="0"/>
        <v>23</v>
      </c>
      <c r="K24" s="6"/>
      <c r="O24" s="7"/>
      <c r="P24" s="7"/>
    </row>
    <row r="25" spans="1:16" x14ac:dyDescent="0.25">
      <c r="A25">
        <f t="shared" si="0"/>
        <v>24</v>
      </c>
      <c r="K25" s="6"/>
      <c r="O25" s="7"/>
      <c r="P25" s="7"/>
    </row>
    <row r="26" spans="1:16" x14ac:dyDescent="0.25">
      <c r="A26">
        <f t="shared" si="0"/>
        <v>25</v>
      </c>
      <c r="K26" s="6"/>
      <c r="O26" s="7"/>
      <c r="P26" s="7"/>
    </row>
    <row r="27" spans="1:16" x14ac:dyDescent="0.25">
      <c r="A27">
        <f t="shared" si="0"/>
        <v>26</v>
      </c>
      <c r="O27" s="7"/>
      <c r="P27" s="7"/>
    </row>
    <row r="28" spans="1:16" x14ac:dyDescent="0.25">
      <c r="A28">
        <f t="shared" si="0"/>
        <v>27</v>
      </c>
      <c r="O28" s="7"/>
      <c r="P28" s="7"/>
    </row>
    <row r="29" spans="1:16" x14ac:dyDescent="0.25">
      <c r="A29">
        <f t="shared" si="0"/>
        <v>28</v>
      </c>
      <c r="O29" s="7"/>
      <c r="P29" s="7"/>
    </row>
    <row r="30" spans="1:16" x14ac:dyDescent="0.25">
      <c r="A30">
        <f t="shared" si="0"/>
        <v>29</v>
      </c>
      <c r="O30" s="7"/>
      <c r="P30" s="7"/>
    </row>
    <row r="31" spans="1:16" x14ac:dyDescent="0.25">
      <c r="A31">
        <f t="shared" si="0"/>
        <v>30</v>
      </c>
      <c r="O31" s="7"/>
      <c r="P31" s="7"/>
    </row>
    <row r="32" spans="1:16" x14ac:dyDescent="0.25">
      <c r="A32">
        <f t="shared" si="0"/>
        <v>31</v>
      </c>
      <c r="O32" s="7"/>
      <c r="P32" s="7"/>
    </row>
    <row r="33" spans="1:16" x14ac:dyDescent="0.25">
      <c r="A33">
        <f t="shared" si="0"/>
        <v>32</v>
      </c>
      <c r="O33" s="7"/>
      <c r="P33" s="7"/>
    </row>
    <row r="34" spans="1:16" x14ac:dyDescent="0.25">
      <c r="A34">
        <f t="shared" si="0"/>
        <v>33</v>
      </c>
      <c r="O34" s="7"/>
      <c r="P34" s="7"/>
    </row>
    <row r="35" spans="1:16" x14ac:dyDescent="0.25">
      <c r="A35">
        <f t="shared" si="0"/>
        <v>34</v>
      </c>
      <c r="O35" s="7"/>
      <c r="P35" s="7"/>
    </row>
    <row r="36" spans="1:16" x14ac:dyDescent="0.25">
      <c r="A36">
        <f t="shared" si="0"/>
        <v>35</v>
      </c>
      <c r="O36" s="7"/>
      <c r="P36" s="7"/>
    </row>
    <row r="37" spans="1:16" x14ac:dyDescent="0.25">
      <c r="A37">
        <f t="shared" si="0"/>
        <v>36</v>
      </c>
      <c r="O37" s="7"/>
      <c r="P37" s="7"/>
    </row>
    <row r="38" spans="1:16" x14ac:dyDescent="0.25">
      <c r="A38">
        <f t="shared" si="0"/>
        <v>37</v>
      </c>
      <c r="O38" s="7"/>
      <c r="P38" s="7"/>
    </row>
    <row r="39" spans="1:16" x14ac:dyDescent="0.25">
      <c r="A39">
        <f t="shared" si="0"/>
        <v>38</v>
      </c>
      <c r="O39" s="7"/>
      <c r="P39" s="7"/>
    </row>
    <row r="40" spans="1:16" x14ac:dyDescent="0.25">
      <c r="A40">
        <f t="shared" si="0"/>
        <v>39</v>
      </c>
      <c r="O40" s="7"/>
      <c r="P4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Moving Mesh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 Lewis</dc:creator>
  <cp:lastModifiedBy>Whit Lewis</cp:lastModifiedBy>
  <dcterms:created xsi:type="dcterms:W3CDTF">2026-08-06T22:30:05Z</dcterms:created>
  <dcterms:modified xsi:type="dcterms:W3CDTF">2026-08-07T03:08:33Z</dcterms:modified>
</cp:coreProperties>
</file>